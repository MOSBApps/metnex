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mosbenerji-my.sharepoint.com/personal/murat_ozenc_mosbenerji_onmicrosoft_com/Documents/Masaüstü/lab/"/>
    </mc:Choice>
  </mc:AlternateContent>
  <xr:revisionPtr revIDLastSave="8" documentId="13_ncr:1_{6E1262AF-FF26-49AB-BAE6-3A1739D16102}" xr6:coauthVersionLast="47" xr6:coauthVersionMax="47" xr10:uidLastSave="{35A845E2-43AA-48A3-971D-C2731CCFF6DB}"/>
  <bookViews>
    <workbookView xWindow="-120" yWindow="-120" windowWidth="29040" windowHeight="15720" xr2:uid="{00000000-000D-0000-FFFF-FFFF00000000}"/>
  </bookViews>
  <sheets>
    <sheet name="2015 KALORİ HESA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/>
  <c r="K6" i="1"/>
  <c r="K5" i="1"/>
  <c r="K7" i="1" l="1"/>
  <c r="N5" i="1" s="1"/>
  <c r="M10" i="1" s="1"/>
  <c r="C8" i="1"/>
  <c r="C4" i="1"/>
  <c r="B6" i="1" s="1"/>
  <c r="D7" i="1"/>
  <c r="D6" i="1"/>
  <c r="D5" i="1"/>
  <c r="B5" i="1" l="1"/>
  <c r="B7" i="1"/>
  <c r="B8" i="1"/>
  <c r="B11" i="1"/>
  <c r="D8" i="1" l="1"/>
  <c r="B13" i="1" s="1"/>
  <c r="B15" i="1" s="1"/>
  <c r="B9" i="1" s="1"/>
  <c r="C9" i="1" l="1"/>
  <c r="G7" i="1" s="1"/>
  <c r="D9" i="1"/>
</calcChain>
</file>

<file path=xl/sharedStrings.xml><?xml version="1.0" encoding="utf-8"?>
<sst xmlns="http://schemas.openxmlformats.org/spreadsheetml/2006/main" count="26" uniqueCount="24">
  <si>
    <t>TS ISO 1928</t>
  </si>
  <si>
    <t>Kuru Kömür</t>
  </si>
  <si>
    <t>Havada Kuru Kömür</t>
  </si>
  <si>
    <t>Orijinal Kömür</t>
  </si>
  <si>
    <t>Kaba Rutubet (%)</t>
  </si>
  <si>
    <t>-</t>
  </si>
  <si>
    <t>Bünye Rutubeti (%)</t>
  </si>
  <si>
    <t>Uçucu Madde (%)</t>
  </si>
  <si>
    <t>Kül (%)</t>
  </si>
  <si>
    <t>Toplam Kükürt (%)</t>
  </si>
  <si>
    <t>Üst Kalori (Kcal/Kg)</t>
  </si>
  <si>
    <t>Alt Kalori (Kcal/Kg)</t>
  </si>
  <si>
    <t>Toplam Rutubet (%)</t>
  </si>
  <si>
    <r>
      <t xml:space="preserve">Seyler Formülüne göre </t>
    </r>
    <r>
      <rPr>
        <b/>
        <sz val="12"/>
        <rFont val="Arial Tur"/>
        <family val="2"/>
        <charset val="162"/>
      </rPr>
      <t xml:space="preserve">Hidrojen </t>
    </r>
    <r>
      <rPr>
        <sz val="12"/>
        <rFont val="Arial"/>
        <family val="2"/>
      </rPr>
      <t xml:space="preserve">miktarı </t>
    </r>
    <r>
      <rPr>
        <b/>
        <sz val="12"/>
        <rFont val="Arial Tur"/>
        <family val="2"/>
        <charset val="162"/>
      </rPr>
      <t>Orj.Kömür</t>
    </r>
  </si>
  <si>
    <r>
      <t xml:space="preserve">Seyler Formülüne göre </t>
    </r>
    <r>
      <rPr>
        <b/>
        <sz val="12"/>
        <rFont val="Arial Tur"/>
        <family val="2"/>
        <charset val="162"/>
      </rPr>
      <t xml:space="preserve">Hidrojen </t>
    </r>
    <r>
      <rPr>
        <sz val="12"/>
        <rFont val="Arial"/>
        <family val="2"/>
      </rPr>
      <t xml:space="preserve">miktarı </t>
    </r>
    <r>
      <rPr>
        <b/>
        <sz val="12"/>
        <rFont val="Arial Tur"/>
        <family val="2"/>
        <charset val="162"/>
      </rPr>
      <t>Kuru Kömür</t>
    </r>
  </si>
  <si>
    <t>NEM</t>
  </si>
  <si>
    <t>KURU KÖMÜR ALT ISIL DEĞER</t>
  </si>
  <si>
    <t xml:space="preserve">FAKTÖR </t>
  </si>
  <si>
    <t>ÜST</t>
  </si>
  <si>
    <t>ALT</t>
  </si>
  <si>
    <t>A (NUMUNE DEĞERİx5,83)</t>
  </si>
  <si>
    <t>B (NUMUNE NEMİ+27)x5,83</t>
  </si>
  <si>
    <t>ALT ISIL DEĞER (ÜST ISIL-B+A)</t>
  </si>
  <si>
    <t>ORJİNAL KÖMÜR ALT ISIL DEĞERİ                                                (KURU KÖMÜR ALT ISIL DEĞERİxFAKTÖR-TOPLAM NEMx5,83)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</si>
</sst>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2"/>
      <name val="Arial"/>
      <family val="2"/>
      <charset val="162"/>
    </font>
    <font>
      <b/>
      <sz val="12"/>
      <name val="Arial"/>
      <family val="2"/>
    </font>
    <font>
      <sz val="12"/>
      <name val="Arial"/>
      <family val="2"/>
    </font>
    <font>
      <b/>
      <sz val="12"/>
      <name val="Arial Tur"/>
      <charset val="162"/>
    </font>
    <font>
      <b/>
      <sz val="12"/>
      <name val="Arial Tur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5"/>
        <bgColor indexed="56"/>
      </patternFill>
    </fill>
    <fill>
      <patternFill patternType="solid">
        <fgColor indexed="13"/>
        <bgColor indexed="56"/>
      </patternFill>
    </fill>
    <fill>
      <patternFill patternType="solid">
        <fgColor indexed="15"/>
        <bgColor indexed="56"/>
      </patternFill>
    </fill>
    <fill>
      <patternFill patternType="solid">
        <fgColor indexed="15"/>
        <bgColor indexed="64"/>
      </patternFill>
    </fill>
    <fill>
      <patternFill patternType="solid">
        <fgColor rgb="FF0BE0E5"/>
        <bgColor indexed="64"/>
      </patternFill>
    </fill>
    <fill>
      <patternFill patternType="solid">
        <fgColor theme="0"/>
        <bgColor indexed="56"/>
      </patternFill>
    </fill>
    <fill>
      <patternFill patternType="solid">
        <fgColor theme="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0" fontId="2" fillId="2" borderId="1" xfId="1" applyFont="1" applyFill="1" applyBorder="1" applyAlignment="1">
      <alignment vertical="center"/>
    </xf>
    <xf numFmtId="0" fontId="3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/>
    </xf>
    <xf numFmtId="0" fontId="2" fillId="0" borderId="1" xfId="1" applyFont="1" applyBorder="1" applyAlignment="1">
      <alignment vertical="center"/>
    </xf>
    <xf numFmtId="0" fontId="4" fillId="0" borderId="1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2" fontId="5" fillId="3" borderId="4" xfId="1" applyNumberFormat="1" applyFont="1" applyFill="1" applyBorder="1"/>
    <xf numFmtId="0" fontId="4" fillId="0" borderId="5" xfId="1" applyFont="1" applyBorder="1" applyAlignment="1">
      <alignment horizontal="center" vertical="center"/>
    </xf>
    <xf numFmtId="2" fontId="4" fillId="4" borderId="6" xfId="1" applyNumberFormat="1" applyFont="1" applyFill="1" applyBorder="1" applyAlignment="1">
      <alignment horizontal="center"/>
    </xf>
    <xf numFmtId="2" fontId="4" fillId="4" borderId="1" xfId="1" applyNumberFormat="1" applyFont="1" applyFill="1" applyBorder="1" applyAlignment="1">
      <alignment horizontal="center"/>
    </xf>
    <xf numFmtId="1" fontId="4" fillId="5" borderId="5" xfId="1" applyNumberFormat="1" applyFont="1" applyFill="1" applyBorder="1" applyAlignment="1">
      <alignment horizontal="center" vertical="center"/>
    </xf>
    <xf numFmtId="1" fontId="5" fillId="3" borderId="4" xfId="1" applyNumberFormat="1" applyFont="1" applyFill="1" applyBorder="1"/>
    <xf numFmtId="1" fontId="4" fillId="5" borderId="8" xfId="1" applyNumberFormat="1" applyFont="1" applyFill="1" applyBorder="1" applyAlignment="1">
      <alignment horizontal="center" vertical="center"/>
    </xf>
    <xf numFmtId="1" fontId="4" fillId="5" borderId="1" xfId="1" applyNumberFormat="1" applyFont="1" applyFill="1" applyBorder="1" applyAlignment="1">
      <alignment horizontal="center" vertical="center"/>
    </xf>
    <xf numFmtId="0" fontId="4" fillId="0" borderId="1" xfId="1" applyFont="1" applyBorder="1"/>
    <xf numFmtId="0" fontId="4" fillId="0" borderId="7" xfId="1" applyFont="1" applyBorder="1"/>
    <xf numFmtId="0" fontId="4" fillId="0" borderId="1" xfId="1" applyFont="1" applyBorder="1" applyAlignment="1">
      <alignment horizontal="left" vertical="center" wrapText="1"/>
    </xf>
    <xf numFmtId="2" fontId="4" fillId="6" borderId="1" xfId="1" applyNumberFormat="1" applyFont="1" applyFill="1" applyBorder="1" applyAlignment="1">
      <alignment horizontal="center" vertical="center"/>
    </xf>
    <xf numFmtId="0" fontId="4" fillId="6" borderId="1" xfId="1" applyFont="1" applyFill="1" applyBorder="1"/>
    <xf numFmtId="1" fontId="4" fillId="0" borderId="1" xfId="1" applyNumberFormat="1" applyFont="1" applyBorder="1"/>
    <xf numFmtId="0" fontId="4" fillId="0" borderId="1" xfId="1" applyFont="1" applyBorder="1" applyAlignment="1">
      <alignment vertical="center" wrapText="1"/>
    </xf>
    <xf numFmtId="2" fontId="4" fillId="6" borderId="1" xfId="1" applyNumberFormat="1" applyFont="1" applyFill="1" applyBorder="1" applyAlignment="1">
      <alignment horizontal="center" vertical="center" wrapText="1"/>
    </xf>
    <xf numFmtId="2" fontId="4" fillId="4" borderId="5" xfId="1" applyNumberFormat="1" applyFont="1" applyFill="1" applyBorder="1" applyAlignment="1">
      <alignment horizontal="center"/>
    </xf>
    <xf numFmtId="2" fontId="4" fillId="4" borderId="10" xfId="1" applyNumberFormat="1" applyFont="1" applyFill="1" applyBorder="1" applyAlignment="1">
      <alignment horizontal="center"/>
    </xf>
    <xf numFmtId="2" fontId="5" fillId="7" borderId="11" xfId="1" applyNumberFormat="1" applyFont="1" applyFill="1" applyBorder="1"/>
    <xf numFmtId="2" fontId="5" fillId="3" borderId="12" xfId="1" applyNumberFormat="1" applyFont="1" applyFill="1" applyBorder="1"/>
    <xf numFmtId="1" fontId="3" fillId="8" borderId="9" xfId="1" applyNumberFormat="1" applyFont="1" applyFill="1" applyBorder="1" applyAlignment="1">
      <alignment horizontal="center" vertical="center"/>
    </xf>
    <xf numFmtId="1" fontId="4" fillId="8" borderId="4" xfId="1" applyNumberFormat="1" applyFont="1" applyFill="1" applyBorder="1" applyAlignment="1">
      <alignment horizontal="center" vertical="center"/>
    </xf>
    <xf numFmtId="0" fontId="0" fillId="0" borderId="1" xfId="0" applyBorder="1"/>
    <xf numFmtId="1" fontId="0" fillId="0" borderId="1" xfId="0" applyNumberFormat="1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wrapText="1"/>
    </xf>
  </cellXfs>
  <cellStyles count="2">
    <cellStyle name="Normal" xfId="0" builtinId="0"/>
    <cellStyle name="Normal 2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15"/>
  <sheetViews>
    <sheetView tabSelected="1" workbookViewId="0">
      <selection activeCell="G7" sqref="G7"/>
    </sheetView>
  </sheetViews>
  <sheetFormatPr defaultRowHeight="15" x14ac:dyDescent="0.25"/>
  <cols>
    <col min="1" max="1" width="25.7109375" customWidth="1"/>
    <col min="2" max="2" width="25.140625" customWidth="1"/>
    <col min="3" max="3" width="46.5703125" customWidth="1"/>
    <col min="4" max="4" width="20.85546875" customWidth="1"/>
    <col min="10" max="10" width="30" bestFit="1" customWidth="1"/>
    <col min="13" max="13" width="12.5703125" customWidth="1"/>
  </cols>
  <sheetData>
    <row r="2" spans="1:14" ht="32.25" thickBot="1" x14ac:dyDescent="0.3">
      <c r="A2" s="1" t="s">
        <v>0</v>
      </c>
      <c r="B2" s="2" t="s">
        <v>1</v>
      </c>
      <c r="C2" s="3" t="s">
        <v>2</v>
      </c>
      <c r="D2" s="4" t="s">
        <v>3</v>
      </c>
      <c r="M2" s="32" t="s">
        <v>17</v>
      </c>
      <c r="N2" s="33">
        <f>(100-G5)/100</f>
        <v>0.83930000000000005</v>
      </c>
    </row>
    <row r="3" spans="1:14" ht="16.5" thickBot="1" x14ac:dyDescent="0.3">
      <c r="A3" s="5" t="s">
        <v>4</v>
      </c>
      <c r="B3" s="6" t="s">
        <v>5</v>
      </c>
      <c r="C3" s="7" t="s">
        <v>5</v>
      </c>
      <c r="D3" s="8">
        <v>0.1</v>
      </c>
      <c r="M3" s="32"/>
      <c r="N3" s="33"/>
    </row>
    <row r="4" spans="1:14" ht="16.5" thickBot="1" x14ac:dyDescent="0.3">
      <c r="A4" s="5" t="s">
        <v>6</v>
      </c>
      <c r="B4" s="9" t="s">
        <v>5</v>
      </c>
      <c r="C4" s="8">
        <f>G5</f>
        <v>16.07</v>
      </c>
      <c r="D4" s="10">
        <v>0.49</v>
      </c>
      <c r="M4" s="32"/>
      <c r="N4" s="33"/>
    </row>
    <row r="5" spans="1:14" ht="16.5" customHeight="1" thickBot="1" x14ac:dyDescent="0.3">
      <c r="A5" s="5" t="s">
        <v>7</v>
      </c>
      <c r="B5" s="24">
        <f>(C5*100)/(100-C4)</f>
        <v>0</v>
      </c>
      <c r="C5" s="27"/>
      <c r="D5" s="25">
        <f>C5*0.01*(100-D3)</f>
        <v>0</v>
      </c>
      <c r="F5" t="s">
        <v>15</v>
      </c>
      <c r="G5" s="30">
        <v>16.07</v>
      </c>
      <c r="J5" s="30" t="s">
        <v>20</v>
      </c>
      <c r="K5" s="30">
        <f>G5*5.83</f>
        <v>93.688100000000006</v>
      </c>
      <c r="M5" s="34" t="s">
        <v>16</v>
      </c>
      <c r="N5" s="33">
        <f>K7+(G5*5.83)/N2</f>
        <v>5601.2164744429883</v>
      </c>
    </row>
    <row r="6" spans="1:14" ht="16.5" thickBot="1" x14ac:dyDescent="0.3">
      <c r="A6" s="5" t="s">
        <v>8</v>
      </c>
      <c r="B6" s="24">
        <f>(C6*100)/(100-C4)</f>
        <v>0</v>
      </c>
      <c r="C6" s="8"/>
      <c r="D6" s="25">
        <f>C6*0.01*(100-D3)</f>
        <v>0</v>
      </c>
      <c r="F6" t="s">
        <v>18</v>
      </c>
      <c r="G6" s="30">
        <v>5647</v>
      </c>
      <c r="J6" s="30" t="s">
        <v>21</v>
      </c>
      <c r="K6" s="30">
        <f>(G5+27)*5.83</f>
        <v>251.09810000000002</v>
      </c>
      <c r="M6" s="34"/>
      <c r="N6" s="33"/>
    </row>
    <row r="7" spans="1:14" ht="16.5" thickBot="1" x14ac:dyDescent="0.3">
      <c r="A7" s="5" t="s">
        <v>9</v>
      </c>
      <c r="B7" s="11">
        <f>(C7*100)/(100-C4)</f>
        <v>0</v>
      </c>
      <c r="C7" s="26"/>
      <c r="D7" s="11">
        <f>C7*0.01*(100-D3)</f>
        <v>0</v>
      </c>
      <c r="F7" t="s">
        <v>19</v>
      </c>
      <c r="G7" s="31">
        <f>C9</f>
        <v>5484.2773689730102</v>
      </c>
      <c r="J7" s="30" t="s">
        <v>22</v>
      </c>
      <c r="K7" s="30">
        <f>G6-K6+K5</f>
        <v>5489.59</v>
      </c>
      <c r="M7" s="34"/>
      <c r="N7" s="33"/>
    </row>
    <row r="8" spans="1:14" ht="16.5" thickBot="1" x14ac:dyDescent="0.3">
      <c r="A8" s="5" t="s">
        <v>10</v>
      </c>
      <c r="B8" s="12">
        <f>(100/(100-C4))*C8</f>
        <v>6728.225902537828</v>
      </c>
      <c r="C8" s="13">
        <f>G6</f>
        <v>5647</v>
      </c>
      <c r="D8" s="14">
        <f>B8*(1-0.01*B11)</f>
        <v>5641.3529999999982</v>
      </c>
    </row>
    <row r="9" spans="1:14" ht="16.5" thickBot="1" x14ac:dyDescent="0.3">
      <c r="A9" s="5" t="s">
        <v>11</v>
      </c>
      <c r="B9" s="15">
        <f>B8-((206/4.187)*B15)</f>
        <v>6639.7532318392514</v>
      </c>
      <c r="C9" s="28">
        <f>(B8-(206/4.187)*B15)*(1-0.01*C4)-((23.05/4.187)*C4)</f>
        <v>5484.2773689730102</v>
      </c>
      <c r="D9" s="29">
        <f>(B8-(206/4.187)*B15)*(1-0.01*B11)-((23.05/4.187)*B11)</f>
        <v>5478.2425781098891</v>
      </c>
    </row>
    <row r="10" spans="1:14" ht="15.75" x14ac:dyDescent="0.25">
      <c r="A10" s="16"/>
      <c r="B10" s="16"/>
      <c r="C10" s="16"/>
      <c r="D10" s="17"/>
      <c r="J10" s="32" t="s">
        <v>23</v>
      </c>
      <c r="K10" s="32"/>
      <c r="L10" s="32"/>
      <c r="M10" s="33">
        <f>(N5*N2)-(G5*5.83)</f>
        <v>4607.4128870000004</v>
      </c>
    </row>
    <row r="11" spans="1:14" ht="15.75" x14ac:dyDescent="0.25">
      <c r="A11" s="18" t="s">
        <v>12</v>
      </c>
      <c r="B11" s="19">
        <f>((100-D3)/100)*C4+D3</f>
        <v>16.153930000000003</v>
      </c>
      <c r="C11" s="16"/>
      <c r="D11" s="16"/>
      <c r="J11" s="32"/>
      <c r="K11" s="32"/>
      <c r="L11" s="32"/>
      <c r="M11" s="33"/>
    </row>
    <row r="12" spans="1:14" ht="15.75" hidden="1" customHeight="1" x14ac:dyDescent="0.25">
      <c r="A12" s="16"/>
      <c r="B12" s="20"/>
      <c r="C12" s="21"/>
      <c r="D12" s="16"/>
      <c r="J12" s="32"/>
      <c r="K12" s="32"/>
      <c r="L12" s="32"/>
      <c r="M12" s="33"/>
    </row>
    <row r="13" spans="1:14" ht="46.5" x14ac:dyDescent="0.25">
      <c r="A13" s="22" t="s">
        <v>13</v>
      </c>
      <c r="B13" s="23">
        <f>(0.07*D5)+(0.000165*D8*4.187)-0.0285*(100-B11-D6)</f>
        <v>1.507743931814999</v>
      </c>
      <c r="C13" s="22"/>
      <c r="D13" s="22"/>
      <c r="J13" s="32"/>
      <c r="K13" s="32"/>
      <c r="L13" s="32"/>
      <c r="M13" s="33"/>
    </row>
    <row r="14" spans="1:14" ht="15.75" hidden="1" x14ac:dyDescent="0.25">
      <c r="A14" s="16"/>
      <c r="B14" s="20"/>
      <c r="C14" s="16"/>
      <c r="D14" s="16"/>
    </row>
    <row r="15" spans="1:14" ht="46.5" x14ac:dyDescent="0.25">
      <c r="A15" s="22" t="s">
        <v>14</v>
      </c>
      <c r="B15" s="23">
        <f>B13*(100/(100-B11))</f>
        <v>1.7982285058977707</v>
      </c>
      <c r="C15" s="16"/>
      <c r="D15" s="16"/>
    </row>
  </sheetData>
  <mergeCells count="6">
    <mergeCell ref="J10:L13"/>
    <mergeCell ref="M10:M13"/>
    <mergeCell ref="M5:M7"/>
    <mergeCell ref="N5:N7"/>
    <mergeCell ref="M2:M4"/>
    <mergeCell ref="N2:N4"/>
  </mergeCells>
  <pageMargins left="0.7" right="0.7" top="0.75" bottom="0.75" header="0.3" footer="0.3"/>
  <pageSetup paperSize="9" orientation="portrait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2015 KALORİ HESAP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Derya Ercan</dc:creator>
  <cp:lastModifiedBy>Murat ÖZENÇ</cp:lastModifiedBy>
  <dcterms:created xsi:type="dcterms:W3CDTF">2016-04-06T12:08:02Z</dcterms:created>
  <dcterms:modified xsi:type="dcterms:W3CDTF">2026-09-28T05:48:21Z</dcterms:modified>
</cp:coreProperties>
</file>